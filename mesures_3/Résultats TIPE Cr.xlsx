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Feuille 1" sheetId="1" r:id="rId1"/>
  </sheets>
  <calcPr calcId="124519"/>
</workbook>
</file>

<file path=xl/calcChain.xml><?xml version="1.0" encoding="utf-8"?>
<calcChain xmlns="http://schemas.openxmlformats.org/spreadsheetml/2006/main">
  <c r="D12" i="1"/>
  <c r="H14" s="1"/>
  <c r="D4"/>
  <c r="E12"/>
  <c r="E4"/>
  <c r="F12" l="1"/>
  <c r="F4"/>
</calcChain>
</file>

<file path=xl/sharedStrings.xml><?xml version="1.0" encoding="utf-8"?>
<sst xmlns="http://schemas.openxmlformats.org/spreadsheetml/2006/main" count="16" uniqueCount="9">
  <si>
    <t>40 psi</t>
  </si>
  <si>
    <t>Cr</t>
  </si>
  <si>
    <t>Cx (fixé)</t>
  </si>
  <si>
    <t>Moyenne</t>
  </si>
  <si>
    <t>Ecart-type</t>
  </si>
  <si>
    <t>Incertitude-type A</t>
  </si>
  <si>
    <t xml:space="preserve">Cr = </t>
  </si>
  <si>
    <t>+/-</t>
  </si>
  <si>
    <t>20 psi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</si>
</sst>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errBars>
            <c:errDir val="x"/>
            <c:errBarType val="both"/>
            <c:errValType val="fixedVal"/>
            <c:val val="2.200000000000001E-3"/>
          </c:errBars>
          <c:errBars>
            <c:errDir val="y"/>
            <c:errBarType val="both"/>
            <c:errValType val="fixedVal"/>
            <c:val val="4.6000000000000008E-3"/>
          </c:errBars>
          <c:xVal>
            <c:numRef>
              <c:f>'Feuille 1'!$A$4:$A$7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'Feuille 1'!$B$4:$B$7</c:f>
              <c:numCache>
                <c:formatCode>General</c:formatCode>
                <c:ptCount val="4"/>
                <c:pt idx="0">
                  <c:v>2.1000000000000001E-2</c:v>
                </c:pt>
                <c:pt idx="1">
                  <c:v>1.7999999999999999E-2</c:v>
                </c:pt>
                <c:pt idx="2">
                  <c:v>2.7E-2</c:v>
                </c:pt>
                <c:pt idx="3">
                  <c:v>1.4999999999999999E-2</c:v>
                </c:pt>
              </c:numCache>
            </c:numRef>
          </c:yVal>
        </c:ser>
        <c:axId val="125790464"/>
        <c:axId val="125800448"/>
      </c:scatterChart>
      <c:valAx>
        <c:axId val="125790464"/>
        <c:scaling>
          <c:orientation val="minMax"/>
        </c:scaling>
        <c:axPos val="b"/>
        <c:numFmt formatCode="General" sourceLinked="1"/>
        <c:tickLblPos val="nextTo"/>
        <c:crossAx val="125800448"/>
        <c:crosses val="autoZero"/>
        <c:crossBetween val="midCat"/>
      </c:valAx>
      <c:valAx>
        <c:axId val="125800448"/>
        <c:scaling>
          <c:orientation val="minMax"/>
        </c:scaling>
        <c:axPos val="l"/>
        <c:majorGridlines/>
        <c:numFmt formatCode="General" sourceLinked="1"/>
        <c:tickLblPos val="nextTo"/>
        <c:crossAx val="1257904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scatterChart>
        <c:scatterStyle val="lineMarker"/>
        <c:ser>
          <c:idx val="0"/>
          <c:order val="0"/>
          <c:spPr>
            <a:ln w="19050">
              <a:noFill/>
            </a:ln>
          </c:spPr>
          <c:errBars>
            <c:errDir val="x"/>
            <c:errBarType val="both"/>
            <c:errValType val="fixedVal"/>
            <c:val val="7.2000000000000042E-5"/>
          </c:errBars>
          <c:errBars>
            <c:errDir val="y"/>
            <c:errBarType val="both"/>
            <c:errValType val="fixedVal"/>
            <c:val val="1.2440000000000005E-3"/>
          </c:errBars>
          <c:xVal>
            <c:numRef>
              <c:f>'Feuille 1'!$A$12:$A$14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'Feuille 1'!$B$12:$B$14</c:f>
              <c:numCache>
                <c:formatCode>General</c:formatCode>
                <c:ptCount val="3"/>
                <c:pt idx="0">
                  <c:v>2.8000000000000001E-2</c:v>
                </c:pt>
                <c:pt idx="1">
                  <c:v>0.03</c:v>
                </c:pt>
                <c:pt idx="2">
                  <c:v>2.7E-2</c:v>
                </c:pt>
              </c:numCache>
            </c:numRef>
          </c:yVal>
        </c:ser>
        <c:axId val="125833216"/>
        <c:axId val="125834752"/>
      </c:scatterChart>
      <c:valAx>
        <c:axId val="125833216"/>
        <c:scaling>
          <c:orientation val="minMax"/>
        </c:scaling>
        <c:axPos val="b"/>
        <c:numFmt formatCode="General" sourceLinked="1"/>
        <c:tickLblPos val="nextTo"/>
        <c:crossAx val="125834752"/>
        <c:crosses val="autoZero"/>
        <c:crossBetween val="midCat"/>
      </c:valAx>
      <c:valAx>
        <c:axId val="125834752"/>
        <c:scaling>
          <c:orientation val="minMax"/>
        </c:scaling>
        <c:axPos val="l"/>
        <c:majorGridlines/>
        <c:numFmt formatCode="General" sourceLinked="1"/>
        <c:tickLblPos val="nextTo"/>
        <c:crossAx val="1258332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495299</xdr:colOff>
      <xdr:row>15</xdr:row>
      <xdr:rowOff>9524</xdr:rowOff>
    </xdr:from>
    <xdr:to>
      <xdr:col>17</xdr:col>
      <xdr:colOff>76199</xdr:colOff>
      <xdr:row>34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657224</xdr:colOff>
      <xdr:row>15</xdr:row>
      <xdr:rowOff>9524</xdr:rowOff>
    </xdr:from>
    <xdr:to>
      <xdr:col>9</xdr:col>
      <xdr:colOff>380999</xdr:colOff>
      <xdr:row>34</xdr:row>
      <xdr:rowOff>9524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J14"/>
  <sheetViews>
    <sheetView tabSelected="1" workbookViewId="0">
      <selection activeCell="R17" sqref="R17"/>
    </sheetView>
  </sheetViews>
  <sheetFormatPr defaultColWidth="12.5703125" defaultRowHeight="15.75" customHeight="1"/>
  <cols>
    <col min="4" max="4" width="15.7109375" customWidth="1"/>
    <col min="5" max="5" width="14.85546875" customWidth="1"/>
    <col min="6" max="6" width="15.42578125" customWidth="1"/>
    <col min="7" max="7" width="5.5703125" customWidth="1"/>
    <col min="9" max="9" width="3.5703125" customWidth="1"/>
    <col min="10" max="10" width="9" customWidth="1"/>
  </cols>
  <sheetData>
    <row r="2" spans="1:10">
      <c r="B2" s="1" t="s">
        <v>0</v>
      </c>
    </row>
    <row r="3" spans="1:10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10">
      <c r="A4" s="1">
        <v>1</v>
      </c>
      <c r="B4" s="1">
        <v>2.1000000000000001E-2</v>
      </c>
      <c r="C4" s="1">
        <v>0.8</v>
      </c>
      <c r="D4" s="2">
        <f>SUM(B4:B7)/4</f>
        <v>2.0250000000000001E-2</v>
      </c>
      <c r="E4" s="2" t="e">
        <f ca="1">_xlfn.STDEV.P(B4:B7)</f>
        <v>#NAME?</v>
      </c>
      <c r="F4" s="2" t="e">
        <f ca="1">E4/2</f>
        <v>#NAME?</v>
      </c>
    </row>
    <row r="5" spans="1:10">
      <c r="A5" s="1">
        <v>2</v>
      </c>
      <c r="B5" s="1">
        <v>1.7999999999999999E-2</v>
      </c>
      <c r="C5" s="1">
        <v>0.8</v>
      </c>
    </row>
    <row r="6" spans="1:10">
      <c r="A6" s="1">
        <v>3</v>
      </c>
      <c r="B6" s="1">
        <v>2.7E-2</v>
      </c>
      <c r="C6" s="1">
        <v>0.8</v>
      </c>
      <c r="G6" s="1" t="s">
        <v>6</v>
      </c>
      <c r="H6" s="1">
        <v>2.0199999999999999E-2</v>
      </c>
      <c r="I6" s="3" t="s">
        <v>7</v>
      </c>
      <c r="J6" s="1">
        <v>2.2000000000000001E-3</v>
      </c>
    </row>
    <row r="7" spans="1:10">
      <c r="A7" s="1">
        <v>4</v>
      </c>
      <c r="B7" s="1">
        <v>1.4999999999999999E-2</v>
      </c>
      <c r="C7" s="1">
        <v>0.8</v>
      </c>
    </row>
    <row r="10" spans="1:10">
      <c r="B10" s="1" t="s">
        <v>8</v>
      </c>
    </row>
    <row r="11" spans="1:10"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10">
      <c r="A12" s="1">
        <v>1</v>
      </c>
      <c r="B12" s="1">
        <v>2.8000000000000001E-2</v>
      </c>
      <c r="C12" s="1">
        <v>0.8</v>
      </c>
      <c r="D12" s="2">
        <f>AVERAGE(B12:B14)</f>
        <v>2.8333333333333332E-2</v>
      </c>
      <c r="E12" s="2" t="e">
        <f ca="1">_xlfn.STDEV.P(B12:B14)</f>
        <v>#NAME?</v>
      </c>
      <c r="F12" s="2" t="e">
        <f ca="1">E12/SQRT(3)</f>
        <v>#NAME?</v>
      </c>
    </row>
    <row r="13" spans="1:10">
      <c r="A13" s="1">
        <v>2</v>
      </c>
      <c r="B13" s="1">
        <v>0.03</v>
      </c>
      <c r="C13" s="1">
        <v>0.8</v>
      </c>
    </row>
    <row r="14" spans="1:10">
      <c r="A14" s="1">
        <v>3</v>
      </c>
      <c r="B14" s="1">
        <v>2.7E-2</v>
      </c>
      <c r="C14" s="1">
        <v>0.8</v>
      </c>
      <c r="G14" s="1" t="s">
        <v>6</v>
      </c>
      <c r="H14" s="2">
        <f>D12</f>
        <v>2.8333333333333332E-2</v>
      </c>
      <c r="I14" s="3" t="s">
        <v>7</v>
      </c>
      <c r="J14" s="1">
        <v>7.2000000000000002E-5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nbras</cp:lastModifiedBy>
  <dcterms:modified xsi:type="dcterms:W3CDTF">2024-05-10T15:34:19Z</dcterms:modified>
</cp:coreProperties>
</file>